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1. Контент-план" sheetId="1" state="visible" r:id="rId1"/>
    <sheet name="2. Правила дедлайнов" sheetId="2" state="visible" r:id="rId2"/>
    <sheet name="3. Каналы и назначения" sheetId="3" state="visible" r:id="rId3"/>
    <sheet name="4. Трекинг" sheetId="4" state="visible" r:id="rId4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DD.MM.YYYY"/>
    <numFmt numFmtId="166" formatCode="#,##0&quot; ₸&quot;"/>
  </numFmts>
  <fonts count="11">
    <font>
      <sz val="11.000000"/>
      <color theme="1"/>
      <name val="Calibri"/>
      <scheme val="minor"/>
    </font>
    <font>
      <b/>
      <sz val="15.000000"/>
      <color rgb="FF1428A0"/>
      <name val="Arial"/>
    </font>
    <font>
      <sz val="10.000000"/>
      <color rgb="FF595959"/>
      <name val="Arial"/>
    </font>
    <font>
      <b/>
      <sz val="8.500000"/>
      <color indexed="65"/>
      <name val="Arial"/>
    </font>
    <font>
      <b/>
      <sz val="9.000000"/>
      <color rgb="FF1A1A1A"/>
      <name val="Arial"/>
    </font>
    <font>
      <sz val="9.000000"/>
      <color rgb="FF1A1A1A"/>
      <name val="Arial"/>
    </font>
    <font>
      <b/>
      <sz val="9.000000"/>
      <color rgb="FF0F6E56"/>
      <name val="Arial"/>
    </font>
    <font>
      <b/>
      <sz val="9.000000"/>
      <color rgb="FF854F0B"/>
      <name val="Arial"/>
    </font>
    <font>
      <b/>
      <sz val="9.000000"/>
      <color rgb="FFA32D2D"/>
      <name val="Arial"/>
    </font>
    <font>
      <b/>
      <sz val="10.000000"/>
      <color rgb="FF1A1A1A"/>
      <name val="Arial"/>
    </font>
    <font>
      <sz val="9.000000"/>
      <color rgb="FF59595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fontId="0" fillId="0" borderId="0" numFmtId="0"/>
  </cellStyleXfs>
  <cellXfs count="30">
    <xf fontId="0" fillId="0" borderId="0" numFmtId="0" xfId="0" quotePrefix="0" pivotButton="0"/>
    <xf fontId="1" fillId="0" borderId="0" numFmtId="0" xfId="0" quotePrefix="0" pivotButton="0"/>
    <xf fontId="2" fillId="0" borderId="0" numFmtId="0" xfId="0" quotePrefix="0" pivotButton="0"/>
    <xf fontId="3" fillId="2" borderId="1" numFmtId="0" xfId="0" applyAlignment="1" quotePrefix="0" pivotButton="0">
      <alignment horizontal="center" vertical="center" wrapText="1"/>
    </xf>
    <xf fontId="4" fillId="0" borderId="1" numFmtId="0" xfId="0" applyAlignment="1" quotePrefix="0" pivotButton="0">
      <alignment horizontal="left" vertical="center"/>
    </xf>
    <xf fontId="5" fillId="0" borderId="1" numFmtId="0" xfId="0" applyAlignment="1" quotePrefix="0" pivotButton="0">
      <alignment horizontal="center" vertical="center"/>
    </xf>
    <xf fontId="5" fillId="0" borderId="1" numFmtId="0" xfId="0" applyAlignment="1" quotePrefix="0" pivotButton="0">
      <alignment horizontal="left" vertical="center"/>
    </xf>
    <xf fontId="4" fillId="3" borderId="1" numFmtId="0" xfId="0" applyAlignment="1" quotePrefix="0" pivotButton="0">
      <alignment horizontal="left" vertical="center"/>
    </xf>
    <xf fontId="5" fillId="0" borderId="1" numFmtId="165" xfId="0" applyAlignment="1" quotePrefix="0" pivotButton="0">
      <alignment horizontal="center" vertical="center"/>
    </xf>
    <xf fontId="5" fillId="0" borderId="1" numFmtId="166" xfId="0" applyAlignment="1" quotePrefix="0" pivotButton="0">
      <alignment horizontal="right" vertical="center"/>
    </xf>
    <xf fontId="5" fillId="0" borderId="1" numFmtId="0" xfId="0" applyAlignment="1" quotePrefix="0" pivotButton="0">
      <alignment horizontal="left" vertical="center" wrapText="1"/>
    </xf>
    <xf fontId="6" fillId="4" borderId="1" numFmtId="0" xfId="0" applyAlignment="1" quotePrefix="0" pivotButton="0">
      <alignment horizontal="center" vertical="center"/>
    </xf>
    <xf fontId="4" fillId="5" borderId="1" numFmtId="0" xfId="0" applyAlignment="1" quotePrefix="0" pivotButton="0">
      <alignment horizontal="left" vertical="center"/>
    </xf>
    <xf fontId="5" fillId="5" borderId="1" numFmtId="0" xfId="0" applyAlignment="1" quotePrefix="0" pivotButton="0">
      <alignment horizontal="center" vertical="center"/>
    </xf>
    <xf fontId="5" fillId="5" borderId="1" numFmtId="0" xfId="0" applyAlignment="1" quotePrefix="0" pivotButton="0">
      <alignment horizontal="left" vertical="center"/>
    </xf>
    <xf fontId="5" fillId="5" borderId="1" numFmtId="165" xfId="0" applyAlignment="1" quotePrefix="0" pivotButton="0">
      <alignment horizontal="center" vertical="center"/>
    </xf>
    <xf fontId="5" fillId="5" borderId="1" numFmtId="166" xfId="0" applyAlignment="1" quotePrefix="0" pivotButton="0">
      <alignment horizontal="right" vertical="center"/>
    </xf>
    <xf fontId="5" fillId="5" borderId="1" numFmtId="0" xfId="0" applyAlignment="1" quotePrefix="0" pivotButton="0">
      <alignment horizontal="left" vertical="center" wrapText="1"/>
    </xf>
    <xf fontId="7" fillId="6" borderId="1" numFmtId="0" xfId="0" applyAlignment="1" quotePrefix="0" pivotButton="0">
      <alignment horizontal="center" vertical="center"/>
    </xf>
    <xf fontId="4" fillId="7" borderId="1" numFmtId="0" xfId="0" applyAlignment="1" quotePrefix="0" pivotButton="0">
      <alignment horizontal="left" vertical="center"/>
    </xf>
    <xf fontId="8" fillId="8" borderId="1" numFmtId="0" xfId="0" applyAlignment="1" quotePrefix="0" pivotButton="0">
      <alignment horizontal="center" vertical="center"/>
    </xf>
    <xf fontId="4" fillId="9" borderId="1" numFmtId="0" xfId="0" applyAlignment="1" quotePrefix="0" pivotButton="0">
      <alignment horizontal="right" vertical="center"/>
    </xf>
    <xf fontId="4" fillId="9" borderId="1" numFmtId="166" xfId="0" applyAlignment="1" quotePrefix="0" pivotButton="0">
      <alignment horizontal="right" vertical="center"/>
    </xf>
    <xf fontId="5" fillId="9" borderId="1" numFmtId="0" xfId="0" applyAlignment="1" quotePrefix="0" pivotButton="0">
      <alignment horizontal="left" vertical="center"/>
    </xf>
    <xf fontId="9" fillId="0" borderId="0" numFmtId="0" xfId="0" quotePrefix="0" pivotButton="0"/>
    <xf fontId="10" fillId="0" borderId="0" numFmtId="0" xfId="0" quotePrefix="0" pivotButton="0"/>
    <xf fontId="5" fillId="3" borderId="1" numFmtId="0" xfId="0" applyAlignment="1" quotePrefix="0" pivotButton="0">
      <alignment horizontal="left" vertical="center"/>
    </xf>
    <xf fontId="5" fillId="7" borderId="1" numFmtId="0" xfId="0" applyAlignment="1" quotePrefix="0" pivotButton="0">
      <alignment horizontal="left" vertical="center"/>
    </xf>
    <xf fontId="4" fillId="0" borderId="1" numFmtId="0" xfId="0" applyAlignment="1" quotePrefix="0" pivotButton="0">
      <alignment horizontal="left" vertical="center" wrapText="1"/>
    </xf>
    <xf fontId="4" fillId="5" borderId="1" numFmtId="0" xfId="0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customWidth="1" min="1" max="1" width="8"/>
    <col customWidth="1" min="2" max="2" width="6"/>
    <col customWidth="1" min="3" max="3" width="17"/>
    <col customWidth="1" min="4" max="4" width="15"/>
    <col customWidth="1" min="5" max="5" width="17"/>
    <col customWidth="1" min="6" max="6" width="16"/>
    <col customWidth="1" min="7" max="7" width="20"/>
    <col customWidth="1" min="8" max="8" width="10"/>
    <col customWidth="1" min="9" max="9" width="14"/>
    <col customWidth="1" min="10" max="10" width="11"/>
    <col customWidth="1" min="11" max="11" width="11"/>
    <col customWidth="1" min="12" max="12" width="11"/>
    <col customWidth="1" min="13" max="13" width="11"/>
    <col customWidth="1" min="14" max="14" width="11"/>
    <col customWidth="1" min="15" max="15" width="13"/>
    <col customWidth="1" min="16" max="16" width="17"/>
    <col customWidth="1" min="17" max="17" width="17"/>
    <col customWidth="1" min="18" max="18" width="13"/>
  </cols>
  <sheetData>
    <row r="1" ht="22" customHeight="1">
      <c r="A1" s="1" t="inlineStr">
        <is>
          <t xml:space="preserve">Мастер контент-план Digital — июль 2026</t>
        </is>
      </c>
    </row>
    <row r="2">
      <c r="A2" s="2" t="inlineStr">
        <is>
          <t xml:space="preserve"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 xml:space="preserve">Тип кампании</t>
        </is>
      </c>
      <c r="F4" s="3" t="inlineStr">
        <is>
          <t>Канал</t>
        </is>
      </c>
      <c r="G4" s="3" t="inlineStr">
        <is>
          <t xml:space="preserve">Назначение (куда ведём)</t>
        </is>
      </c>
      <c r="H4" s="3" t="inlineStr">
        <is>
          <t xml:space="preserve"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 xml:space="preserve">Бриф до</t>
        </is>
      </c>
      <c r="L4" s="3" t="inlineStr">
        <is>
          <t xml:space="preserve">Креатив до</t>
        </is>
      </c>
      <c r="M4" s="3" t="inlineStr">
        <is>
          <t xml:space="preserve">Согл. до</t>
        </is>
      </c>
      <c r="N4" s="3" t="inlineStr">
        <is>
          <t>Финиш</t>
        </is>
      </c>
      <c r="O4" s="3" t="inlineStr">
        <is>
          <t xml:space="preserve">Бюджет (₸)</t>
        </is>
      </c>
      <c r="P4" s="3" t="inlineStr">
        <is>
          <t xml:space="preserve"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W27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 xml:space="preserve"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8">
        <v>46209</v>
      </c>
      <c r="K5" s="8">
        <f>J5-14</f>
      </c>
      <c r="L5" s="8">
        <f>J5-7</f>
      </c>
      <c r="M5" s="8">
        <f>J5-3</f>
      </c>
      <c r="N5" s="8">
        <v>46229</v>
      </c>
      <c r="O5" s="9">
        <v>800000</v>
      </c>
      <c r="P5" s="10" t="inlineStr">
        <is>
          <t xml:space="preserve">ROAS 3.0 · 25 покупок</t>
        </is>
      </c>
      <c r="Q5" s="6" t="inlineStr">
        <is>
          <t xml:space="preserve"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W27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 xml:space="preserve"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 xml:space="preserve">Search RSA</t>
        </is>
      </c>
      <c r="J6" s="15">
        <v>46209</v>
      </c>
      <c r="K6" s="15">
        <f>J6-14</f>
      </c>
      <c r="L6" s="15">
        <f>J6-7</f>
      </c>
      <c r="M6" s="15">
        <f>J6-3</f>
      </c>
      <c r="N6" s="15">
        <v>46229</v>
      </c>
      <c r="O6" s="16">
        <v>900000</v>
      </c>
      <c r="P6" s="17" t="inlineStr">
        <is>
          <t xml:space="preserve">ROAS 2.5 · CPA 90к</t>
        </is>
      </c>
      <c r="Q6" s="14" t="inlineStr">
        <is>
          <t xml:space="preserve"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W27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 xml:space="preserve"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8">
        <v>46209</v>
      </c>
      <c r="K7" s="8">
        <f>J7-14</f>
      </c>
      <c r="L7" s="8">
        <f>J7-7</f>
      </c>
      <c r="M7" s="8">
        <f>J7-3</f>
      </c>
      <c r="N7" s="8">
        <v>46234</v>
      </c>
      <c r="O7" s="9">
        <v>450000</v>
      </c>
      <c r="P7" s="10" t="inlineStr">
        <is>
          <t xml:space="preserve">CTR 1.2% · 40 заказов</t>
        </is>
      </c>
      <c r="Q7" s="6" t="inlineStr">
        <is>
          <t xml:space="preserve">AI Mktg Manager</t>
        </is>
      </c>
      <c r="R7" s="18" t="inlineStr">
        <is>
          <t xml:space="preserve">В работе</t>
        </is>
      </c>
    </row>
    <row r="8">
      <c r="A8" s="12" t="inlineStr">
        <is>
          <t>C-04</t>
        </is>
      </c>
      <c r="B8" s="13" t="inlineStr">
        <is>
          <t>W28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 xml:space="preserve"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 xml:space="preserve">Feed Square</t>
        </is>
      </c>
      <c r="J8" s="15">
        <v>46216</v>
      </c>
      <c r="K8" s="15">
        <f>J8-14</f>
      </c>
      <c r="L8" s="15">
        <f>J8-7</f>
      </c>
      <c r="M8" s="15">
        <f>J8-3</f>
      </c>
      <c r="N8" s="15">
        <v>46230</v>
      </c>
      <c r="O8" s="16">
        <v>320000</v>
      </c>
      <c r="P8" s="17" t="inlineStr">
        <is>
          <t xml:space="preserve">Охват 800к · CTR 0.8%</t>
        </is>
      </c>
      <c r="Q8" s="14" t="inlineStr">
        <is>
          <t xml:space="preserve">AI Mktg Manager</t>
        </is>
      </c>
      <c r="R8" s="18" t="inlineStr">
        <is>
          <t xml:space="preserve">В работе</t>
        </is>
      </c>
    </row>
    <row r="9">
      <c r="A9" s="4" t="inlineStr">
        <is>
          <t>C-05</t>
        </is>
      </c>
      <c r="B9" s="5" t="inlineStr">
        <is>
          <t>W28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 xml:space="preserve"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 xml:space="preserve">Feed Portrait</t>
        </is>
      </c>
      <c r="J9" s="8">
        <v>46216</v>
      </c>
      <c r="K9" s="8">
        <f>J9-14</f>
      </c>
      <c r="L9" s="8">
        <f>J9-7</f>
      </c>
      <c r="M9" s="8">
        <f>J9-3</f>
      </c>
      <c r="N9" s="8">
        <v>46230</v>
      </c>
      <c r="O9" s="9">
        <v>300000</v>
      </c>
      <c r="P9" s="10" t="inlineStr">
        <is>
          <t xml:space="preserve">Охват 700к · CTR 0.8%</t>
        </is>
      </c>
      <c r="Q9" s="6" t="inlineStr">
        <is>
          <t xml:space="preserve">AI Mktg Manager</t>
        </is>
      </c>
      <c r="R9" s="18" t="inlineStr">
        <is>
          <t xml:space="preserve">В работе</t>
        </is>
      </c>
    </row>
    <row r="10">
      <c r="A10" s="12" t="inlineStr">
        <is>
          <t>C-06</t>
        </is>
      </c>
      <c r="B10" s="13" t="inlineStr">
        <is>
          <t>W28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 xml:space="preserve">Video 16:9</t>
        </is>
      </c>
      <c r="J10" s="15">
        <v>46216</v>
      </c>
      <c r="K10" s="15">
        <f>J10-14</f>
      </c>
      <c r="L10" s="15">
        <f>J10-7</f>
      </c>
      <c r="M10" s="15">
        <f>J10-3</f>
      </c>
      <c r="N10" s="15">
        <v>46237</v>
      </c>
      <c r="O10" s="16">
        <v>1200000</v>
      </c>
      <c r="P10" s="17" t="inlineStr">
        <is>
          <t xml:space="preserve">Охват 2М · VTR 25%</t>
        </is>
      </c>
      <c r="Q10" s="14" t="inlineStr">
        <is>
          <t xml:space="preserve">AI Mktg Manager</t>
        </is>
      </c>
      <c r="R10" s="20" t="inlineStr">
        <is>
          <t xml:space="preserve">Не начато</t>
        </is>
      </c>
    </row>
    <row r="11">
      <c r="A11" s="4" t="inlineStr">
        <is>
          <t>C-07</t>
        </is>
      </c>
      <c r="B11" s="5" t="inlineStr">
        <is>
          <t>W29</t>
        </is>
      </c>
      <c r="C11" s="6" t="inlineStr">
        <is>
          <t>NV75T9979CD/WT</t>
        </is>
      </c>
      <c r="D11" s="6" t="inlineStr">
        <is>
          <t xml:space="preserve">Духовые шкафы</t>
        </is>
      </c>
      <c r="E11" s="7" t="inlineStr">
        <is>
          <t>Промо-запуск</t>
        </is>
      </c>
      <c r="F11" s="6" t="inlineStr">
        <is>
          <t xml:space="preserve"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8">
        <v>46223</v>
      </c>
      <c r="K11" s="8">
        <f>J11-14</f>
      </c>
      <c r="L11" s="8">
        <f>J11-7</f>
      </c>
      <c r="M11" s="8">
        <f>J11-3</f>
      </c>
      <c r="N11" s="8">
        <v>46244</v>
      </c>
      <c r="O11" s="9">
        <v>700000</v>
      </c>
      <c r="P11" s="10" t="inlineStr">
        <is>
          <t xml:space="preserve">ROAS 2.5 · 12 покупок</t>
        </is>
      </c>
      <c r="Q11" s="6" t="inlineStr">
        <is>
          <t xml:space="preserve">AI Mktg Manager</t>
        </is>
      </c>
      <c r="R11" s="20" t="inlineStr">
        <is>
          <t xml:space="preserve">Не начато</t>
        </is>
      </c>
    </row>
    <row r="12">
      <c r="A12" s="12" t="inlineStr">
        <is>
          <t>C-08</t>
        </is>
      </c>
      <c r="B12" s="13" t="inlineStr">
        <is>
          <t>W29</t>
        </is>
      </c>
      <c r="C12" s="14" t="inlineStr">
        <is>
          <t>NV75T9979CD/WT</t>
        </is>
      </c>
      <c r="D12" s="14" t="inlineStr">
        <is>
          <t xml:space="preserve">Духовые шкафы</t>
        </is>
      </c>
      <c r="E12" s="7" t="inlineStr">
        <is>
          <t>Маркетплейс</t>
        </is>
      </c>
      <c r="F12" s="14" t="inlineStr">
        <is>
          <t xml:space="preserve"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15">
        <v>46223</v>
      </c>
      <c r="K12" s="15">
        <f>J12-14</f>
      </c>
      <c r="L12" s="15">
        <f>J12-7</f>
      </c>
      <c r="M12" s="15">
        <f>J12-3</f>
      </c>
      <c r="N12" s="15">
        <v>46244</v>
      </c>
      <c r="O12" s="16">
        <v>400000</v>
      </c>
      <c r="P12" s="17" t="inlineStr">
        <is>
          <t xml:space="preserve">CTR 1.0% · 20 заказов</t>
        </is>
      </c>
      <c r="Q12" s="14" t="inlineStr">
        <is>
          <t xml:space="preserve">AI Mktg Manager</t>
        </is>
      </c>
      <c r="R12" s="20" t="inlineStr">
        <is>
          <t xml:space="preserve">Не начато</t>
        </is>
      </c>
    </row>
    <row r="13">
      <c r="A13" s="4" t="inlineStr">
        <is>
          <t>C-09</t>
        </is>
      </c>
      <c r="B13" s="5" t="inlineStr">
        <is>
          <t>W29</t>
        </is>
      </c>
      <c r="C13" s="6" t="inlineStr">
        <is>
          <t xml:space="preserve"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8">
        <v>46223</v>
      </c>
      <c r="K13" s="8">
        <f>J13-14</f>
      </c>
      <c r="L13" s="8">
        <f>J13-7</f>
      </c>
      <c r="M13" s="8">
        <f>J13-3</f>
      </c>
      <c r="N13" s="8">
        <v>46251</v>
      </c>
      <c r="O13" s="9">
        <v>950000</v>
      </c>
      <c r="P13" s="10" t="inlineStr">
        <is>
          <t xml:space="preserve">Охват 1.5М · CTR 0.9%</t>
        </is>
      </c>
      <c r="Q13" s="6" t="inlineStr">
        <is>
          <t xml:space="preserve">Head of Marketing</t>
        </is>
      </c>
      <c r="R13" s="20" t="inlineStr">
        <is>
          <t xml:space="preserve">Не начато</t>
        </is>
      </c>
    </row>
    <row r="14">
      <c r="A14" s="12" t="inlineStr">
        <is>
          <t>C-10</t>
        </is>
      </c>
      <c r="B14" s="13" t="inlineStr">
        <is>
          <t>W30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Always-on</t>
        </is>
      </c>
      <c r="F14" s="14" t="inlineStr">
        <is>
          <t xml:space="preserve">Google Search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 xml:space="preserve">Search RSA</t>
        </is>
      </c>
      <c r="J14" s="15">
        <v>46230</v>
      </c>
      <c r="K14" s="15">
        <f>J14-14</f>
      </c>
      <c r="L14" s="15">
        <f>J14-7</f>
      </c>
      <c r="M14" s="15">
        <f>J14-3</f>
      </c>
      <c r="N14" s="15">
        <v>46258</v>
      </c>
      <c r="O14" s="16">
        <v>600000</v>
      </c>
      <c r="P14" s="17" t="inlineStr">
        <is>
          <t xml:space="preserve">ROAS 2.0 · CPA 110к</t>
        </is>
      </c>
      <c r="Q14" s="14" t="inlineStr">
        <is>
          <t xml:space="preserve">AI Mktg Manager</t>
        </is>
      </c>
      <c r="R14" s="20" t="inlineStr">
        <is>
          <t xml:space="preserve">Не начато</t>
        </is>
      </c>
    </row>
    <row r="15">
      <c r="A15" s="4" t="inlineStr">
        <is>
          <t>C-11</t>
        </is>
      </c>
      <c r="B15" s="5" t="inlineStr">
        <is>
          <t>W30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 xml:space="preserve"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8">
        <v>46230</v>
      </c>
      <c r="K15" s="8">
        <f>J15-14</f>
      </c>
      <c r="L15" s="8">
        <f>J15-7</f>
      </c>
      <c r="M15" s="8">
        <f>J15-3</f>
      </c>
      <c r="N15" s="8">
        <v>46244</v>
      </c>
      <c r="O15" s="9">
        <v>280000</v>
      </c>
      <c r="P15" s="10" t="inlineStr">
        <is>
          <t xml:space="preserve">Охват 500к · CTR 0.5%</t>
        </is>
      </c>
      <c r="Q15" s="6" t="inlineStr">
        <is>
          <t xml:space="preserve">AI Mktg Manager</t>
        </is>
      </c>
      <c r="R15" s="20" t="inlineStr">
        <is>
          <t xml:space="preserve">Не начато</t>
        </is>
      </c>
    </row>
    <row r="16">
      <c r="A16" s="12" t="inlineStr">
        <is>
          <t>C-12</t>
        </is>
      </c>
      <c r="B16" s="13" t="inlineStr">
        <is>
          <t>W30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 xml:space="preserve"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15">
        <v>46230</v>
      </c>
      <c r="K16" s="15">
        <f>J16-14</f>
      </c>
      <c r="L16" s="15">
        <f>J16-7</f>
      </c>
      <c r="M16" s="15">
        <f>J16-3</f>
      </c>
      <c r="N16" s="15">
        <v>46258</v>
      </c>
      <c r="O16" s="16">
        <v>500000</v>
      </c>
      <c r="P16" s="17" t="inlineStr">
        <is>
          <t xml:space="preserve">Охват 1.2М · CTR 1.0%</t>
        </is>
      </c>
      <c r="Q16" s="14" t="inlineStr">
        <is>
          <t xml:space="preserve">AI Mktg Manager</t>
        </is>
      </c>
      <c r="R16" s="20" t="inlineStr">
        <is>
          <t xml:space="preserve">Не начато</t>
        </is>
      </c>
    </row>
    <row r="17">
      <c r="N17" s="21" t="inlineStr">
        <is>
          <t>ИТОГО</t>
        </is>
      </c>
      <c r="O17" s="22">
        <f>SUM(O5:O16)</f>
      </c>
      <c r="P17" s="23"/>
      <c r="Q17" s="23"/>
      <c r="R17" s="23"/>
    </row>
    <row r="19">
      <c r="A19" s="24" t="inlineStr">
        <is>
          <t xml:space="preserve">Как читать:</t>
        </is>
      </c>
    </row>
    <row r="20">
      <c r="A20" s="25" t="inlineStr">
        <is>
          <t xml:space="preserve">•  Дедлайны (Бриф/Креатив/Согласование) — формулы от даты старта: −14, −7, −3 дня. Меняешь старт — пересчёт автоматом.</t>
        </is>
      </c>
    </row>
    <row r="21">
      <c r="A21" s="25" t="inlineStr">
        <is>
          <t xml:space="preserve">•  Назначение — куда ведёт трафик: samsung.kz, маркетплейс или конкретный дистрибьютор.</t>
        </is>
      </c>
    </row>
    <row r="22">
      <c r="A22" s="25" t="inlineStr">
        <is>
          <t xml:space="preserve">•  Тип кампании: синий — перформанс (продажи), фиолетовый — медийка (охват).</t>
        </is>
      </c>
    </row>
    <row r="23">
      <c r="A23" s="25" t="inlineStr">
        <is>
          <t xml:space="preserve">•  Креатив ID — связка с креативным пайплайном (Задание №1).</t>
        </is>
      </c>
    </row>
    <row r="24">
      <c r="A24" s="25" t="inlineStr">
        <is>
          <t xml:space="preserve">•  ВНИМАНИЕ: сейчас дедлайны посчитаны единым правилом −14/−7/−3 для всех кампаний. По вкладке «2. Правила дедлайнов» правила разные по типам — агент должен применить корректные и подсветить расхождения.</t>
        </is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xr:uid="{0042008D-00E5-451C-A136-00C400F30077}" type="list" allowBlank="1" showDropDown="0" showErrorMessage="0" showInputMessage="0">
          <x14:formula1>
            <xm:f>"Не начато,В работе,На согласовании,Готово,Запущено"</xm:f>
          </x14:formula1>
          <xm:sqref>R5:R16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customWidth="1" min="1" max="1" width="20"/>
    <col customWidth="1" min="2" max="2" width="12"/>
    <col customWidth="1" min="3" max="3" width="12"/>
    <col customWidth="1" min="4" max="4" width="14"/>
    <col customWidth="1" min="5" max="5" width="20"/>
    <col customWidth="1" min="6" max="6" width="42"/>
  </cols>
  <sheetData>
    <row r="1">
      <c r="A1" s="1" t="inlineStr">
        <is>
          <t xml:space="preserve">Правила обратного отсчёта по типам кампаний</t>
        </is>
      </c>
    </row>
    <row r="2">
      <c r="A2" s="2" t="inlineStr">
        <is>
          <t xml:space="preserve">Агент использует эти правила, чтобы посчитать дедлайны от даты старта.</t>
        </is>
      </c>
    </row>
    <row r="4">
      <c r="A4" s="3" t="inlineStr">
        <is>
          <t xml:space="preserve"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 xml:space="preserve">−14 дней</t>
        </is>
      </c>
      <c r="C5" s="5" t="inlineStr">
        <is>
          <t xml:space="preserve">−7 дней</t>
        </is>
      </c>
      <c r="D5" s="5" t="inlineStr">
        <is>
          <t xml:space="preserve">−3 дня</t>
        </is>
      </c>
      <c r="E5" s="5" t="inlineStr">
        <is>
          <t xml:space="preserve">−1 день</t>
        </is>
      </c>
      <c r="F5" s="10" t="inlineStr">
        <is>
          <t xml:space="preserve"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 xml:space="preserve">−10 дней</t>
        </is>
      </c>
      <c r="C6" s="13" t="inlineStr">
        <is>
          <t xml:space="preserve">−5 дней</t>
        </is>
      </c>
      <c r="D6" s="13" t="inlineStr">
        <is>
          <t xml:space="preserve">−2 дня</t>
        </is>
      </c>
      <c r="E6" s="13" t="inlineStr">
        <is>
          <t xml:space="preserve">−1 день</t>
        </is>
      </c>
      <c r="F6" s="17" t="inlineStr">
        <is>
          <t xml:space="preserve"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 xml:space="preserve">−21 день</t>
        </is>
      </c>
      <c r="C7" s="5" t="inlineStr">
        <is>
          <t xml:space="preserve">−10 дней</t>
        </is>
      </c>
      <c r="D7" s="5" t="inlineStr">
        <is>
          <t xml:space="preserve">−5 дней</t>
        </is>
      </c>
      <c r="E7" s="5" t="inlineStr">
        <is>
          <t xml:space="preserve">−2 дня</t>
        </is>
      </c>
      <c r="F7" s="10" t="inlineStr">
        <is>
          <t xml:space="preserve">Видео дольше в продакшене</t>
        </is>
      </c>
    </row>
    <row r="8">
      <c r="A8" s="12" t="inlineStr">
        <is>
          <t xml:space="preserve">Retail support</t>
        </is>
      </c>
      <c r="B8" s="13" t="inlineStr">
        <is>
          <t xml:space="preserve">−14 дней</t>
        </is>
      </c>
      <c r="C8" s="13" t="inlineStr">
        <is>
          <t xml:space="preserve">−7 дней</t>
        </is>
      </c>
      <c r="D8" s="13" t="inlineStr">
        <is>
          <t xml:space="preserve">−4 дня</t>
        </is>
      </c>
      <c r="E8" s="13" t="inlineStr">
        <is>
          <t xml:space="preserve">−2 дня</t>
        </is>
      </c>
      <c r="F8" s="17" t="inlineStr">
        <is>
          <t xml:space="preserve"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 xml:space="preserve">−10 дней</t>
        </is>
      </c>
      <c r="C9" s="5" t="inlineStr">
        <is>
          <t xml:space="preserve">−5 дней</t>
        </is>
      </c>
      <c r="D9" s="5" t="inlineStr">
        <is>
          <t xml:space="preserve">−3 дня</t>
        </is>
      </c>
      <c r="E9" s="5" t="inlineStr">
        <is>
          <t xml:space="preserve">−1 день</t>
        </is>
      </c>
      <c r="F9" s="10" t="inlineStr">
        <is>
          <t xml:space="preserve">Карточки готовятся параллельно с баннерами</t>
        </is>
      </c>
    </row>
    <row r="11">
      <c r="A11" s="24" t="inlineStr">
        <is>
          <t xml:space="preserve">Дополнительные правила:</t>
        </is>
      </c>
    </row>
    <row r="12">
      <c r="A12" s="25" t="inlineStr">
        <is>
          <t xml:space="preserve">•  Если дедлайн выпадает на выходной — сдвигаем на предыдущий рабочий день.</t>
        </is>
      </c>
    </row>
    <row r="13">
      <c r="A13" s="25" t="inlineStr">
        <is>
          <t xml:space="preserve">•  Дистрибьюторские кампании требуют доп. согласования — закладываем +1 день.</t>
        </is>
      </c>
    </row>
    <row r="14">
      <c r="A14" s="25" t="inlineStr">
        <is>
          <t xml:space="preserve"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 xml:space="preserve"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customWidth="1" min="1" max="1" width="18"/>
    <col customWidth="1" min="2" max="2" width="14"/>
    <col customWidth="1" min="3" max="3" width="30"/>
    <col customWidth="1" min="4" max="4" width="32"/>
    <col customWidth="1" min="5" max="5" width="20"/>
  </cols>
  <sheetData>
    <row r="1">
      <c r="A1" s="1" t="inlineStr">
        <is>
          <t xml:space="preserve">Матрица: канал → назначение → формат</t>
        </is>
      </c>
    </row>
    <row r="2">
      <c r="A2" s="2" t="inlineStr">
        <is>
          <t xml:space="preserve"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 xml:space="preserve">Возможные назначения</t>
        </is>
      </c>
      <c r="D4" s="3" t="inlineStr">
        <is>
          <t xml:space="preserve">Нужные форматы</t>
        </is>
      </c>
      <c r="E4" s="3" t="inlineStr">
        <is>
          <t xml:space="preserve">Кто ведёт</t>
        </is>
      </c>
    </row>
    <row r="5">
      <c r="A5" s="4" t="inlineStr">
        <is>
          <t xml:space="preserve"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 xml:space="preserve">Search RSA (тексты)</t>
        </is>
      </c>
      <c r="E5" s="6" t="inlineStr">
        <is>
          <t xml:space="preserve">AI Mktg Manager</t>
        </is>
      </c>
    </row>
    <row r="6">
      <c r="A6" s="12" t="inlineStr">
        <is>
          <t xml:space="preserve"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 xml:space="preserve">Display 1200×628 · Square 1080×1080 · Video</t>
        </is>
      </c>
      <c r="E6" s="14" t="inlineStr">
        <is>
          <t xml:space="preserve">AI Mktg Manager</t>
        </is>
      </c>
    </row>
    <row r="7">
      <c r="A7" s="4" t="inlineStr">
        <is>
          <t>Meta</t>
        </is>
      </c>
      <c r="B7" s="26" t="inlineStr">
        <is>
          <t xml:space="preserve">Performance / Медийка</t>
        </is>
      </c>
      <c r="C7" s="10" t="inlineStr">
        <is>
          <t xml:space="preserve">samsung.kz · Technodom · Sulpak · Mechta · Evrika</t>
        </is>
      </c>
      <c r="D7" s="10" t="inlineStr">
        <is>
          <t xml:space="preserve">Feed Square · Feed Portrait · Stories</t>
        </is>
      </c>
      <c r="E7" s="6" t="inlineStr">
        <is>
          <t xml:space="preserve">AI Mktg Manager</t>
        </is>
      </c>
    </row>
    <row r="8">
      <c r="A8" s="12" t="inlineStr">
        <is>
          <t xml:space="preserve"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 xml:space="preserve">Stories/Reels 1080×1920</t>
        </is>
      </c>
      <c r="E8" s="14" t="inlineStr">
        <is>
          <t xml:space="preserve"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 xml:space="preserve">Video 1920×1080 · Bumper 6 сек</t>
        </is>
      </c>
      <c r="E9" s="6" t="inlineStr">
        <is>
          <t xml:space="preserve">AI Mktg Manager</t>
        </is>
      </c>
    </row>
    <row r="10">
      <c r="A10" s="12" t="inlineStr">
        <is>
          <t xml:space="preserve">Display / GDN</t>
        </is>
      </c>
      <c r="B10" s="27" t="inlineStr">
        <is>
          <t>Медийка</t>
        </is>
      </c>
      <c r="C10" s="17" t="inlineStr">
        <is>
          <t xml:space="preserve">samsung.kz · дистрибьюторы</t>
        </is>
      </c>
      <c r="D10" s="17" t="inlineStr">
        <is>
          <t xml:space="preserve">Display 1200×628 · набор баннеров</t>
        </is>
      </c>
      <c r="E10" s="14" t="inlineStr">
        <is>
          <t xml:space="preserve">AI Mktg Manager</t>
        </is>
      </c>
    </row>
    <row r="11">
      <c r="A11" s="4" t="inlineStr">
        <is>
          <t xml:space="preserve"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 xml:space="preserve">Banner + карточка товара</t>
        </is>
      </c>
      <c r="E11" s="6" t="inlineStr">
        <is>
          <t xml:space="preserve">AI Mktg Manager</t>
        </is>
      </c>
    </row>
    <row r="12">
      <c r="A12" s="12" t="inlineStr">
        <is>
          <t xml:space="preserve"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 xml:space="preserve">Banner + карточка товара</t>
        </is>
      </c>
      <c r="E12" s="14" t="inlineStr">
        <is>
          <t xml:space="preserve">AI Mktg Manager</t>
        </is>
      </c>
    </row>
    <row r="14">
      <c r="A14" s="24" t="inlineStr">
        <is>
          <t>Правило:</t>
        </is>
      </c>
    </row>
    <row r="15">
      <c r="A15" s="25" t="inlineStr">
        <is>
          <t xml:space="preserve"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 xml:space="preserve"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customWidth="1" min="1" max="1" width="30"/>
    <col customWidth="1" min="2" max="2" width="42"/>
    <col customWidth="1" min="3" max="3" width="34"/>
  </cols>
  <sheetData>
    <row r="1">
      <c r="A1" s="1" t="inlineStr">
        <is>
          <t xml:space="preserve">Что трекает Digital-менеджер еженедельно</t>
        </is>
      </c>
    </row>
    <row r="2">
      <c r="A2" s="2" t="inlineStr">
        <is>
          <t xml:space="preserve">Этот срез агент должен собирать автоматически из мастер-плана.</t>
        </is>
      </c>
    </row>
    <row r="4">
      <c r="A4" s="3" t="inlineStr">
        <is>
          <t xml:space="preserve">Что отслеживаем</t>
        </is>
      </c>
      <c r="B4" s="3" t="inlineStr">
        <is>
          <t xml:space="preserve">Как считается</t>
        </is>
      </c>
      <c r="C4" s="3" t="inlineStr">
        <is>
          <t xml:space="preserve">Сигнал тревоги</t>
        </is>
      </c>
    </row>
    <row r="5">
      <c r="A5" s="28" t="inlineStr">
        <is>
          <t xml:space="preserve">Просроченные дедлайны</t>
        </is>
      </c>
      <c r="B5" s="10" t="inlineStr">
        <is>
          <t xml:space="preserve">Дедлайн &lt; сегодня И статус ≠ Готово</t>
        </is>
      </c>
      <c r="C5" s="10" t="inlineStr">
        <is>
          <t xml:space="preserve">Любой — эскалация сразу</t>
        </is>
      </c>
    </row>
    <row r="6">
      <c r="A6" s="29" t="inlineStr">
        <is>
          <t xml:space="preserve">Дедлайны на этой неделе</t>
        </is>
      </c>
      <c r="B6" s="17" t="inlineStr">
        <is>
          <t xml:space="preserve">Дедлайн в пределах 7 дней</t>
        </is>
      </c>
      <c r="C6" s="17" t="inlineStr">
        <is>
          <t xml:space="preserve">Больше 6 — риск не успеть</t>
        </is>
      </c>
    </row>
    <row r="7">
      <c r="A7" s="28" t="inlineStr">
        <is>
          <t xml:space="preserve">Кампании без креатива</t>
        </is>
      </c>
      <c r="B7" s="10" t="inlineStr">
        <is>
          <t xml:space="preserve">Статус ≠ Готово при старте &lt; 7 дней</t>
        </is>
      </c>
      <c r="C7" s="10" t="inlineStr">
        <is>
          <t xml:space="preserve">Любая — блокирует запуск</t>
        </is>
      </c>
    </row>
    <row r="8">
      <c r="A8" s="29" t="inlineStr">
        <is>
          <t xml:space="preserve">Загрузка по неделям</t>
        </is>
      </c>
      <c r="B8" s="17" t="inlineStr">
        <is>
          <t xml:space="preserve">Кол-во запусков на неделю</t>
        </is>
      </c>
      <c r="C8" s="17" t="inlineStr">
        <is>
          <t xml:space="preserve">Больше 4 — перегруз студии</t>
        </is>
      </c>
    </row>
    <row r="9">
      <c r="A9" s="28" t="inlineStr">
        <is>
          <t xml:space="preserve">Покрытие моделей</t>
        </is>
      </c>
      <c r="B9" s="10" t="inlineStr">
        <is>
          <t xml:space="preserve">Модель без активной кампании в месяце</t>
        </is>
      </c>
      <c r="C9" s="10" t="inlineStr">
        <is>
          <t xml:space="preserve">Приоритетная модель без плана</t>
        </is>
      </c>
    </row>
    <row r="10">
      <c r="A10" s="29" t="inlineStr">
        <is>
          <t xml:space="preserve">Баланс перформанс/медийка</t>
        </is>
      </c>
      <c r="B10" s="17" t="inlineStr">
        <is>
          <t xml:space="preserve">Доля бюджета по типам</t>
        </is>
      </c>
      <c r="C10" s="17" t="inlineStr">
        <is>
          <t xml:space="preserve">Медийка &gt; 40% без перформанс-поддержки</t>
        </is>
      </c>
    </row>
    <row r="11">
      <c r="A11" s="28" t="inlineStr">
        <is>
          <t xml:space="preserve">Покрытие назначений</t>
        </is>
      </c>
      <c r="B11" s="10" t="inlineStr">
        <is>
          <t xml:space="preserve">Есть ли трафик на дистрибьюторов</t>
        </is>
      </c>
      <c r="C11" s="10" t="inlineStr">
        <is>
          <t xml:space="preserve">Дистрибьютор без поддержки месяц+</t>
        </is>
      </c>
    </row>
    <row r="13">
      <c r="A13" s="24" t="inlineStr">
        <is>
          <t xml:space="preserve">Еженедельный дайджест для менеджера должен отвечать на 3 вопроса:</t>
        </is>
      </c>
    </row>
    <row r="14">
      <c r="A14" s="25" t="inlineStr">
        <is>
          <t xml:space="preserve">•  Что горит прямо сейчас (просрочки и риски срыва запуска).</t>
        </is>
      </c>
    </row>
    <row r="15">
      <c r="A15" s="25" t="inlineStr">
        <is>
          <t xml:space="preserve">•  Что нужно сделать на этой неделе (список задач с дедлайнами).</t>
        </is>
      </c>
    </row>
    <row r="16">
      <c r="A16" s="25" t="inlineStr">
        <is>
          <t xml:space="preserve"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2026-07-24T08:49:32Z</dcterms:created>
  <dcterms:modified xsi:type="dcterms:W3CDTF">2026-07-24T08:49:32Z</dcterms:modified>
</cp:coreProperties>
</file>